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iste des taches" sheetId="2" r:id="rId5"/>
    <sheet state="visible" name="avancement projet" sheetId="3" r:id="rId6"/>
    <sheet state="visible" name="detail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dav+3kVL1yfMtTfKoAJd+z/P7Ga9+sT1+Tmc7T0Eomg="/>
    </ext>
  </extLst>
</workbook>
</file>

<file path=xl/sharedStrings.xml><?xml version="1.0" encoding="utf-8"?>
<sst xmlns="http://schemas.openxmlformats.org/spreadsheetml/2006/main" count="252" uniqueCount="107">
  <si>
    <t>Avancement</t>
  </si>
  <si>
    <t>Qui</t>
  </si>
  <si>
    <t>Somme de Estimation</t>
  </si>
  <si>
    <t>Cédric4208</t>
  </si>
  <si>
    <t>Nous 3</t>
  </si>
  <si>
    <t>Tahina4256</t>
  </si>
  <si>
    <t>Toky4332</t>
  </si>
  <si>
    <t>Total général</t>
  </si>
  <si>
    <t>Ligne</t>
  </si>
  <si>
    <t>Catégorie</t>
  </si>
  <si>
    <t>Module</t>
  </si>
  <si>
    <t>Nom de page</t>
  </si>
  <si>
    <t>Description</t>
  </si>
  <si>
    <t>Type</t>
  </si>
  <si>
    <t>Estimation</t>
  </si>
  <si>
    <t>Temps passé</t>
  </si>
  <si>
    <t>Reste à faire</t>
  </si>
  <si>
    <t>Status</t>
  </si>
  <si>
    <t>Web</t>
  </si>
  <si>
    <t>Configuration</t>
  </si>
  <si>
    <t>config/database.php</t>
  </si>
  <si>
    <t>Connexion PDO sécurisée</t>
  </si>
  <si>
    <t>Terminé</t>
  </si>
  <si>
    <t>Gestion erreurs &amp; try/catch</t>
  </si>
  <si>
    <t>Backend</t>
  </si>
  <si>
    <t>Ville</t>
  </si>
  <si>
    <t>app/models/Ville.php</t>
  </si>
  <si>
    <t>CRUD complet Ville</t>
  </si>
  <si>
    <t>Méthode search()</t>
  </si>
  <si>
    <t>VilleController.php</t>
  </si>
  <si>
    <t>Méthodes Create:Ajouter une nouvelle ville,Read:Voir toutes les villes, Update:Modifier une ville,Delete:Supprimer une ville(CRUD)</t>
  </si>
  <si>
    <t>views/villes/index.php</t>
  </si>
  <si>
    <t>Liste + pagination</t>
  </si>
  <si>
    <t>Frontend</t>
  </si>
  <si>
    <t>views/villes/create.php</t>
  </si>
  <si>
    <t>Formulaire création</t>
  </si>
  <si>
    <t>views/villes/edit.php</t>
  </si>
  <si>
    <t>Formulaire modification</t>
  </si>
  <si>
    <t>Dashboard</t>
  </si>
  <si>
    <t>DashboardController.php</t>
  </si>
  <si>
    <t>Collecte statistiques</t>
  </si>
  <si>
    <t>dashboard/index.php</t>
  </si>
  <si>
    <t>Cartes statistiques</t>
  </si>
  <si>
    <t>Graphiques synthèse</t>
  </si>
  <si>
    <t>Besoin</t>
  </si>
  <si>
    <t>Besoin.php</t>
  </si>
  <si>
    <t>CRUD Besoin</t>
  </si>
  <si>
    <t>getUncoveredNeeds()</t>
  </si>
  <si>
    <t>BesoinController.php</t>
  </si>
  <si>
    <t>Méthodes CRUD</t>
  </si>
  <si>
    <t>views/besoins/index.php</t>
  </si>
  <si>
    <t>Liste + filtres</t>
  </si>
  <si>
    <t>Don</t>
  </si>
  <si>
    <t>Don.php</t>
  </si>
  <si>
    <t>CRUD Don</t>
  </si>
  <si>
    <t>Gestion quantité disponible</t>
  </si>
  <si>
    <t>DonController.php</t>
  </si>
  <si>
    <t>Validation + expiration</t>
  </si>
  <si>
    <t>Attribution</t>
  </si>
  <si>
    <t>Attribution.php</t>
  </si>
  <si>
    <t>CRUD Attribution</t>
  </si>
  <si>
    <t>AttributionService.php</t>
  </si>
  <si>
    <t>Validation type Don = Besoin</t>
  </si>
  <si>
    <t>Règle métier</t>
  </si>
  <si>
    <t>AttributionController.php</t>
  </si>
  <si>
    <t>API AJAX</t>
  </si>
  <si>
    <t>views/attributions/create.php</t>
  </si>
  <si>
    <t>Formulaire dynamique JS</t>
  </si>
  <si>
    <t>Router</t>
  </si>
  <si>
    <t>public/router.php</t>
  </si>
  <si>
    <t>Routes RESTful</t>
  </si>
  <si>
    <t>public/.htaccess</t>
  </si>
  <si>
    <t>Réécriture URL</t>
  </si>
  <si>
    <t>Layout</t>
  </si>
  <si>
    <t>layouts/main.php</t>
  </si>
  <si>
    <t>Navbar + Sidebar + Footer</t>
  </si>
  <si>
    <t>Design</t>
  </si>
  <si>
    <t>style.css</t>
  </si>
  <si>
    <t>Création Css (design a haut niveau)</t>
  </si>
  <si>
    <t>Achats</t>
  </si>
  <si>
    <t>Module Achat complet</t>
  </si>
  <si>
    <t>CRUD + recap</t>
  </si>
  <si>
    <t>Ventes</t>
  </si>
  <si>
    <t>Module Vente complet</t>
  </si>
  <si>
    <t>CRUD + paramètres</t>
  </si>
  <si>
    <t>Migration</t>
  </si>
  <si>
    <t>schema.sql</t>
  </si>
  <si>
    <t>Création tables principales+ insertion des donnée que nous a donner</t>
  </si>
  <si>
    <t>Base de données</t>
  </si>
  <si>
    <t>migration_reset.sql</t>
  </si>
  <si>
    <t>Script reset DB</t>
  </si>
  <si>
    <t>Tests</t>
  </si>
  <si>
    <t>Tests complets projet</t>
  </si>
  <si>
    <t>Validation générale</t>
  </si>
  <si>
    <t>Test</t>
  </si>
  <si>
    <t>Excel</t>
  </si>
  <si>
    <t>Feuille de calcul</t>
  </si>
  <si>
    <t>Suivi-todolist Projet S3</t>
  </si>
  <si>
    <t>Todo liste du projet (version tableau)</t>
  </si>
  <si>
    <t xml:space="preserve">Excel 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</si>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</sst>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2.0"/>
      <color theme="1"/>
      <name val="Aptos Narrow"/>
      <scheme val="minor"/>
    </font>
    <font>
      <b/>
      <color theme="1"/>
      <name val="Arial"/>
    </font>
    <font>
      <color theme="1"/>
      <name val="Aptos Narrow"/>
    </font>
    <font>
      <color theme="1"/>
      <name val="Aptos Narrow"/>
      <scheme val="minor"/>
    </font>
    <font>
      <b/>
      <color theme="1"/>
      <name val="Aptos Narrow"/>
      <scheme val="minor"/>
    </font>
    <font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10" xfId="0" applyFill="1" applyFont="1" applyNumberFormat="1"/>
    <xf borderId="0" fillId="0" fontId="3" numFmtId="0" xfId="0" applyFont="1"/>
    <xf borderId="0" fillId="3" fontId="4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1" fillId="3" fontId="6" numFmtId="0" xfId="0" applyBorder="1" applyFont="1"/>
    <xf borderId="0" fillId="0" fontId="2" numFmtId="0" xfId="0" applyFont="1"/>
    <xf borderId="0" fillId="0" fontId="7" numFmtId="10" xfId="0" applyFont="1" applyNumberFormat="1"/>
    <xf borderId="0" fillId="0" fontId="7" numFmtId="9" xfId="0" applyFont="1" applyNumberFormat="1"/>
    <xf borderId="0" fillId="3" fontId="4" numFmtId="164" xfId="0" applyAlignment="1" applyFont="1" applyNumberFormat="1">
      <alignment horizontal="center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L40" sheet="liste des taches"/>
  </cacheSource>
  <cacheFields>
    <cacheField name="Estimation" numFmtId="0">
      <sharedItems containsString="0" containsBlank="1" containsNumber="1" containsInteger="1">
        <n v="45.0"/>
        <n v="20.0"/>
        <n v="60.0"/>
        <n v="25.0"/>
        <n v="40.0"/>
        <n v="30.0"/>
        <n v="50.0"/>
        <n v="35.0"/>
        <n v="55.0"/>
        <n v="70.0"/>
        <n v="75.0"/>
        <m/>
      </sharedItems>
    </cacheField>
    <cacheField name="Temps passé" numFmtId="0">
      <sharedItems containsString="0" containsBlank="1" containsNumber="1" containsInteger="1">
        <n v="45.0"/>
        <n v="20.0"/>
        <n v="60.0"/>
        <n v="25.0"/>
        <n v="40.0"/>
        <n v="30.0"/>
        <n v="50.0"/>
        <n v="35.0"/>
        <n v="55.0"/>
        <n v="70.0"/>
        <n v="75.0"/>
        <m/>
      </sharedItems>
    </cacheField>
    <cacheField name="Reste à faire" numFmtId="0">
      <sharedItems containsString="0" containsBlank="1" containsNumber="1" containsInteger="1">
        <n v="0.0"/>
        <m/>
      </sharedItems>
    </cacheField>
    <cacheField name="Avancement" numFmtId="10">
      <sharedItems containsString="0" containsBlank="1" containsNumber="1" containsInteger="1">
        <n v="1.0"/>
        <m/>
      </sharedItems>
    </cacheField>
    <cacheField name="Qui" numFmtId="0">
      <sharedItems containsBlank="1">
        <s v="Cédric4208"/>
        <s v="Toky4332"/>
        <s v="Tahina4256"/>
        <s v="Nous 3"/>
        <m/>
      </sharedItems>
    </cacheField>
    <cacheField name="Status" numFmtId="0">
      <sharedItems containsBlank="1">
        <s v="Terminé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3:B9" firstHeaderRow="0" firstDataRow="1" firstDataCol="0"/>
  <pivotFields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mps pass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ste à faire" compact="0" outline="0" multipleItemSelectionAllowed="1" showAll="0">
      <items>
        <item x="0"/>
        <item x="1"/>
        <item t="default"/>
      </items>
    </pivotField>
    <pivotField name="Avancement" compact="0" numFmtId="10" outline="0" multipleItemSelectionAllowed="1" showAll="0">
      <items>
        <item x="0"/>
        <item x="1"/>
        <item t="default"/>
      </items>
    </pivotField>
    <pivotField name="Qui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omme de Estimation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19.44"/>
    <col customWidth="1" min="3" max="26" width="10.56"/>
  </cols>
  <sheetData>
    <row r="1" ht="15.75" customHeight="1">
      <c r="A1" s="1" t="s">
        <v>0</v>
      </c>
      <c r="B1" s="2">
        <f>'avancement projet'!D2</f>
        <v>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3.22"/>
    <col customWidth="1" min="3" max="3" width="34.78"/>
    <col customWidth="1" min="4" max="4" width="35.22"/>
    <col customWidth="1" min="5" max="5" width="103.89"/>
    <col customWidth="1" min="6" max="6" width="15.11"/>
    <col customWidth="1" min="7" max="7" width="10.56"/>
    <col customWidth="1" min="8" max="10" width="12.0"/>
    <col customWidth="1" min="11" max="11" width="12.11"/>
    <col customWidth="1" min="12" max="28" width="10.56"/>
  </cols>
  <sheetData>
    <row r="1" ht="15.75" customHeight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5" t="s">
        <v>0</v>
      </c>
      <c r="K1" s="4" t="s">
        <v>1</v>
      </c>
      <c r="L1" s="4" t="s">
        <v>17</v>
      </c>
    </row>
    <row r="2" ht="15.75" customHeight="1">
      <c r="A2" s="6">
        <v>1.0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19</v>
      </c>
      <c r="G2" s="7">
        <v>45.0</v>
      </c>
      <c r="H2" s="6">
        <v>45.0</v>
      </c>
      <c r="I2" s="6">
        <f t="shared" ref="I2:I32" si="1">G2-H2</f>
        <v>0</v>
      </c>
      <c r="J2" s="8">
        <f t="shared" ref="J2:J32" si="2">(H2/(H2+I2))</f>
        <v>1</v>
      </c>
      <c r="K2" s="6" t="s">
        <v>3</v>
      </c>
      <c r="L2" s="7" t="s">
        <v>22</v>
      </c>
    </row>
    <row r="3" ht="15.75" customHeight="1">
      <c r="A3" s="6">
        <v>2.0</v>
      </c>
      <c r="B3" s="6" t="s">
        <v>18</v>
      </c>
      <c r="C3" s="6" t="s">
        <v>19</v>
      </c>
      <c r="D3" s="6" t="s">
        <v>20</v>
      </c>
      <c r="E3" s="6" t="s">
        <v>23</v>
      </c>
      <c r="F3" s="6" t="s">
        <v>24</v>
      </c>
      <c r="G3" s="6">
        <v>20.0</v>
      </c>
      <c r="H3" s="6">
        <v>20.0</v>
      </c>
      <c r="I3" s="6">
        <f t="shared" si="1"/>
        <v>0</v>
      </c>
      <c r="J3" s="8">
        <f t="shared" si="2"/>
        <v>1</v>
      </c>
      <c r="K3" s="6" t="s">
        <v>6</v>
      </c>
      <c r="L3" s="7" t="s">
        <v>22</v>
      </c>
    </row>
    <row r="4" ht="15.75" customHeight="1">
      <c r="A4" s="6">
        <v>3.0</v>
      </c>
      <c r="B4" s="6" t="s">
        <v>18</v>
      </c>
      <c r="C4" s="6" t="s">
        <v>25</v>
      </c>
      <c r="D4" s="6" t="s">
        <v>26</v>
      </c>
      <c r="E4" s="6" t="s">
        <v>27</v>
      </c>
      <c r="F4" s="6" t="s">
        <v>24</v>
      </c>
      <c r="G4" s="6">
        <v>60.0</v>
      </c>
      <c r="H4" s="6">
        <v>60.0</v>
      </c>
      <c r="I4" s="6">
        <f t="shared" si="1"/>
        <v>0</v>
      </c>
      <c r="J4" s="8">
        <f t="shared" si="2"/>
        <v>1</v>
      </c>
      <c r="K4" s="6" t="s">
        <v>3</v>
      </c>
      <c r="L4" s="7" t="s">
        <v>22</v>
      </c>
    </row>
    <row r="5" ht="15.75" customHeight="1">
      <c r="A5" s="6">
        <v>4.0</v>
      </c>
      <c r="B5" s="6" t="s">
        <v>18</v>
      </c>
      <c r="C5" s="6" t="s">
        <v>25</v>
      </c>
      <c r="D5" s="6" t="s">
        <v>26</v>
      </c>
      <c r="E5" s="6" t="s">
        <v>28</v>
      </c>
      <c r="F5" s="6" t="s">
        <v>24</v>
      </c>
      <c r="G5" s="6">
        <v>25.0</v>
      </c>
      <c r="H5" s="6">
        <v>25.0</v>
      </c>
      <c r="I5" s="6">
        <f t="shared" si="1"/>
        <v>0</v>
      </c>
      <c r="J5" s="8">
        <f t="shared" si="2"/>
        <v>1</v>
      </c>
      <c r="K5" s="6" t="s">
        <v>3</v>
      </c>
      <c r="L5" s="7" t="s">
        <v>22</v>
      </c>
    </row>
    <row r="6" ht="15.75" customHeight="1">
      <c r="A6" s="6">
        <v>5.0</v>
      </c>
      <c r="B6" s="6" t="s">
        <v>18</v>
      </c>
      <c r="C6" s="6" t="s">
        <v>25</v>
      </c>
      <c r="D6" s="6" t="s">
        <v>29</v>
      </c>
      <c r="E6" s="7" t="s">
        <v>30</v>
      </c>
      <c r="F6" s="6" t="s">
        <v>24</v>
      </c>
      <c r="G6" s="9">
        <v>60.0</v>
      </c>
      <c r="H6" s="6">
        <v>60.0</v>
      </c>
      <c r="I6" s="9">
        <f t="shared" si="1"/>
        <v>0</v>
      </c>
      <c r="J6" s="8">
        <f t="shared" si="2"/>
        <v>1</v>
      </c>
      <c r="K6" s="6" t="s">
        <v>3</v>
      </c>
      <c r="L6" s="7" t="s">
        <v>22</v>
      </c>
    </row>
    <row r="7" ht="15.75" customHeight="1">
      <c r="A7" s="6">
        <v>6.0</v>
      </c>
      <c r="B7" s="6" t="s">
        <v>18</v>
      </c>
      <c r="C7" s="6" t="s">
        <v>25</v>
      </c>
      <c r="D7" s="6" t="s">
        <v>31</v>
      </c>
      <c r="E7" s="6" t="s">
        <v>32</v>
      </c>
      <c r="F7" s="6" t="s">
        <v>33</v>
      </c>
      <c r="G7" s="6">
        <v>40.0</v>
      </c>
      <c r="H7" s="6">
        <v>40.0</v>
      </c>
      <c r="I7" s="6">
        <f t="shared" si="1"/>
        <v>0</v>
      </c>
      <c r="J7" s="8">
        <f t="shared" si="2"/>
        <v>1</v>
      </c>
      <c r="K7" s="6" t="s">
        <v>3</v>
      </c>
      <c r="L7" s="7" t="s">
        <v>22</v>
      </c>
    </row>
    <row r="8" ht="15.75" customHeight="1">
      <c r="A8" s="6">
        <v>7.0</v>
      </c>
      <c r="B8" s="6" t="s">
        <v>18</v>
      </c>
      <c r="C8" s="6" t="s">
        <v>25</v>
      </c>
      <c r="D8" s="6" t="s">
        <v>34</v>
      </c>
      <c r="E8" s="6" t="s">
        <v>35</v>
      </c>
      <c r="F8" s="6" t="s">
        <v>33</v>
      </c>
      <c r="G8" s="6">
        <v>30.0</v>
      </c>
      <c r="H8" s="6">
        <v>30.0</v>
      </c>
      <c r="I8" s="6">
        <f t="shared" si="1"/>
        <v>0</v>
      </c>
      <c r="J8" s="8">
        <f t="shared" si="2"/>
        <v>1</v>
      </c>
      <c r="K8" s="6" t="s">
        <v>3</v>
      </c>
      <c r="L8" s="7" t="s">
        <v>22</v>
      </c>
    </row>
    <row r="9" ht="15.75" customHeight="1">
      <c r="A9" s="6">
        <v>8.0</v>
      </c>
      <c r="B9" s="6" t="s">
        <v>18</v>
      </c>
      <c r="C9" s="6" t="s">
        <v>25</v>
      </c>
      <c r="D9" s="6" t="s">
        <v>36</v>
      </c>
      <c r="E9" s="6" t="s">
        <v>37</v>
      </c>
      <c r="F9" s="6" t="s">
        <v>33</v>
      </c>
      <c r="G9" s="6">
        <v>30.0</v>
      </c>
      <c r="H9" s="6">
        <v>30.0</v>
      </c>
      <c r="I9" s="6">
        <f t="shared" si="1"/>
        <v>0</v>
      </c>
      <c r="J9" s="8">
        <f t="shared" si="2"/>
        <v>1</v>
      </c>
      <c r="K9" s="6" t="s">
        <v>3</v>
      </c>
      <c r="L9" s="7" t="s">
        <v>22</v>
      </c>
    </row>
    <row r="10" ht="15.75" customHeight="1">
      <c r="A10" s="6">
        <v>9.0</v>
      </c>
      <c r="B10" s="6" t="s">
        <v>18</v>
      </c>
      <c r="C10" s="6" t="s">
        <v>38</v>
      </c>
      <c r="D10" s="6" t="s">
        <v>39</v>
      </c>
      <c r="E10" s="6" t="s">
        <v>40</v>
      </c>
      <c r="F10" s="6" t="s">
        <v>24</v>
      </c>
      <c r="G10" s="6">
        <v>50.0</v>
      </c>
      <c r="H10" s="6">
        <v>50.0</v>
      </c>
      <c r="I10" s="6">
        <f t="shared" si="1"/>
        <v>0</v>
      </c>
      <c r="J10" s="8">
        <f t="shared" si="2"/>
        <v>1</v>
      </c>
      <c r="K10" s="6" t="s">
        <v>3</v>
      </c>
      <c r="L10" s="7" t="s">
        <v>22</v>
      </c>
    </row>
    <row r="11" ht="15.75" customHeight="1">
      <c r="A11" s="6">
        <v>10.0</v>
      </c>
      <c r="B11" s="6" t="s">
        <v>18</v>
      </c>
      <c r="C11" s="6" t="s">
        <v>38</v>
      </c>
      <c r="D11" s="6" t="s">
        <v>41</v>
      </c>
      <c r="E11" s="6" t="s">
        <v>42</v>
      </c>
      <c r="F11" s="6" t="s">
        <v>33</v>
      </c>
      <c r="G11" s="6">
        <v>40.0</v>
      </c>
      <c r="H11" s="6">
        <v>40.0</v>
      </c>
      <c r="I11" s="6">
        <f t="shared" si="1"/>
        <v>0</v>
      </c>
      <c r="J11" s="8">
        <f t="shared" si="2"/>
        <v>1</v>
      </c>
      <c r="K11" s="6" t="s">
        <v>3</v>
      </c>
      <c r="L11" s="7" t="s">
        <v>22</v>
      </c>
    </row>
    <row r="12" ht="15.75" customHeight="1">
      <c r="A12" s="6">
        <v>11.0</v>
      </c>
      <c r="B12" s="6" t="s">
        <v>18</v>
      </c>
      <c r="C12" s="6" t="s">
        <v>38</v>
      </c>
      <c r="D12" s="6" t="s">
        <v>41</v>
      </c>
      <c r="E12" s="6" t="s">
        <v>43</v>
      </c>
      <c r="F12" s="6" t="s">
        <v>33</v>
      </c>
      <c r="G12" s="6">
        <v>35.0</v>
      </c>
      <c r="H12" s="6">
        <v>35.0</v>
      </c>
      <c r="I12" s="6">
        <f t="shared" si="1"/>
        <v>0</v>
      </c>
      <c r="J12" s="8">
        <f t="shared" si="2"/>
        <v>1</v>
      </c>
      <c r="K12" s="6" t="s">
        <v>3</v>
      </c>
      <c r="L12" s="7" t="s">
        <v>22</v>
      </c>
    </row>
    <row r="13" ht="15.75" customHeight="1">
      <c r="A13" s="6">
        <v>12.0</v>
      </c>
      <c r="B13" s="6" t="s">
        <v>18</v>
      </c>
      <c r="C13" s="6" t="s">
        <v>44</v>
      </c>
      <c r="D13" s="6" t="s">
        <v>45</v>
      </c>
      <c r="E13" s="6" t="s">
        <v>46</v>
      </c>
      <c r="F13" s="6" t="s">
        <v>24</v>
      </c>
      <c r="G13" s="6">
        <v>60.0</v>
      </c>
      <c r="H13" s="6">
        <v>60.0</v>
      </c>
      <c r="I13" s="6">
        <f t="shared" si="1"/>
        <v>0</v>
      </c>
      <c r="J13" s="8">
        <f t="shared" si="2"/>
        <v>1</v>
      </c>
      <c r="K13" s="6" t="s">
        <v>6</v>
      </c>
      <c r="L13" s="7" t="s">
        <v>22</v>
      </c>
    </row>
    <row r="14" ht="15.75" customHeight="1">
      <c r="A14" s="6">
        <v>13.0</v>
      </c>
      <c r="B14" s="6" t="s">
        <v>18</v>
      </c>
      <c r="C14" s="6" t="s">
        <v>44</v>
      </c>
      <c r="D14" s="6" t="s">
        <v>45</v>
      </c>
      <c r="E14" s="6" t="s">
        <v>47</v>
      </c>
      <c r="F14" s="6" t="s">
        <v>24</v>
      </c>
      <c r="G14" s="6">
        <v>30.0</v>
      </c>
      <c r="H14" s="6">
        <v>30.0</v>
      </c>
      <c r="I14" s="6">
        <f t="shared" si="1"/>
        <v>0</v>
      </c>
      <c r="J14" s="8">
        <f t="shared" si="2"/>
        <v>1</v>
      </c>
      <c r="K14" s="6" t="s">
        <v>6</v>
      </c>
      <c r="L14" s="7" t="s">
        <v>22</v>
      </c>
    </row>
    <row r="15" ht="15.75" customHeight="1">
      <c r="A15" s="6">
        <v>14.0</v>
      </c>
      <c r="B15" s="6" t="s">
        <v>18</v>
      </c>
      <c r="C15" s="6" t="s">
        <v>44</v>
      </c>
      <c r="D15" s="6" t="s">
        <v>48</v>
      </c>
      <c r="E15" s="6" t="s">
        <v>49</v>
      </c>
      <c r="F15" s="6" t="s">
        <v>24</v>
      </c>
      <c r="G15" s="6">
        <v>55.0</v>
      </c>
      <c r="H15" s="6">
        <v>55.0</v>
      </c>
      <c r="I15" s="6">
        <f t="shared" si="1"/>
        <v>0</v>
      </c>
      <c r="J15" s="8">
        <f t="shared" si="2"/>
        <v>1</v>
      </c>
      <c r="K15" s="6" t="s">
        <v>6</v>
      </c>
      <c r="L15" s="7" t="s">
        <v>22</v>
      </c>
    </row>
    <row r="16" ht="15.75" customHeight="1">
      <c r="A16" s="6">
        <v>15.0</v>
      </c>
      <c r="B16" s="6" t="s">
        <v>18</v>
      </c>
      <c r="C16" s="6" t="s">
        <v>44</v>
      </c>
      <c r="D16" s="6" t="s">
        <v>50</v>
      </c>
      <c r="E16" s="6" t="s">
        <v>51</v>
      </c>
      <c r="F16" s="6" t="s">
        <v>33</v>
      </c>
      <c r="G16" s="6">
        <v>40.0</v>
      </c>
      <c r="H16" s="6">
        <v>40.0</v>
      </c>
      <c r="I16" s="6">
        <f t="shared" si="1"/>
        <v>0</v>
      </c>
      <c r="J16" s="8">
        <f t="shared" si="2"/>
        <v>1</v>
      </c>
      <c r="K16" s="6" t="s">
        <v>6</v>
      </c>
      <c r="L16" s="7" t="s">
        <v>22</v>
      </c>
    </row>
    <row r="17" ht="15.75" customHeight="1">
      <c r="A17" s="6">
        <v>16.0</v>
      </c>
      <c r="B17" s="6" t="s">
        <v>18</v>
      </c>
      <c r="C17" s="6" t="s">
        <v>52</v>
      </c>
      <c r="D17" s="6" t="s">
        <v>53</v>
      </c>
      <c r="E17" s="6" t="s">
        <v>54</v>
      </c>
      <c r="F17" s="6" t="s">
        <v>24</v>
      </c>
      <c r="G17" s="6">
        <v>60.0</v>
      </c>
      <c r="H17" s="6">
        <v>60.0</v>
      </c>
      <c r="I17" s="6">
        <f t="shared" si="1"/>
        <v>0</v>
      </c>
      <c r="J17" s="8">
        <f t="shared" si="2"/>
        <v>1</v>
      </c>
      <c r="K17" s="6" t="s">
        <v>6</v>
      </c>
      <c r="L17" s="7" t="s">
        <v>22</v>
      </c>
    </row>
    <row r="18" ht="15.75" customHeight="1">
      <c r="A18" s="6">
        <v>17.0</v>
      </c>
      <c r="B18" s="6" t="s">
        <v>18</v>
      </c>
      <c r="C18" s="6" t="s">
        <v>52</v>
      </c>
      <c r="D18" s="6" t="s">
        <v>53</v>
      </c>
      <c r="E18" s="6" t="s">
        <v>55</v>
      </c>
      <c r="F18" s="6" t="s">
        <v>24</v>
      </c>
      <c r="G18" s="6">
        <v>35.0</v>
      </c>
      <c r="H18" s="6">
        <v>35.0</v>
      </c>
      <c r="I18" s="6">
        <f t="shared" si="1"/>
        <v>0</v>
      </c>
      <c r="J18" s="8">
        <f t="shared" si="2"/>
        <v>1</v>
      </c>
      <c r="K18" s="6" t="s">
        <v>6</v>
      </c>
      <c r="L18" s="7" t="s">
        <v>22</v>
      </c>
    </row>
    <row r="19" ht="15.75" customHeight="1">
      <c r="A19" s="6">
        <v>18.0</v>
      </c>
      <c r="B19" s="6" t="s">
        <v>18</v>
      </c>
      <c r="C19" s="6" t="s">
        <v>52</v>
      </c>
      <c r="D19" s="6" t="s">
        <v>56</v>
      </c>
      <c r="E19" s="6" t="s">
        <v>57</v>
      </c>
      <c r="F19" s="6" t="s">
        <v>24</v>
      </c>
      <c r="G19" s="6">
        <v>55.0</v>
      </c>
      <c r="H19" s="6">
        <v>55.0</v>
      </c>
      <c r="I19" s="6">
        <f t="shared" si="1"/>
        <v>0</v>
      </c>
      <c r="J19" s="8">
        <f t="shared" si="2"/>
        <v>1</v>
      </c>
      <c r="K19" s="6" t="s">
        <v>6</v>
      </c>
      <c r="L19" s="7" t="s">
        <v>22</v>
      </c>
    </row>
    <row r="20" ht="15.75" customHeight="1">
      <c r="A20" s="6">
        <v>19.0</v>
      </c>
      <c r="B20" s="6" t="s">
        <v>18</v>
      </c>
      <c r="C20" s="6" t="s">
        <v>58</v>
      </c>
      <c r="D20" s="6" t="s">
        <v>59</v>
      </c>
      <c r="E20" s="6" t="s">
        <v>60</v>
      </c>
      <c r="F20" s="6" t="s">
        <v>24</v>
      </c>
      <c r="G20" s="6">
        <v>60.0</v>
      </c>
      <c r="H20" s="6">
        <v>60.0</v>
      </c>
      <c r="I20" s="6">
        <f t="shared" si="1"/>
        <v>0</v>
      </c>
      <c r="J20" s="8">
        <f t="shared" si="2"/>
        <v>1</v>
      </c>
      <c r="K20" s="6" t="s">
        <v>5</v>
      </c>
      <c r="L20" s="7" t="s">
        <v>22</v>
      </c>
    </row>
    <row r="21" ht="15.75" customHeight="1">
      <c r="A21" s="6">
        <v>20.0</v>
      </c>
      <c r="B21" s="6" t="s">
        <v>18</v>
      </c>
      <c r="C21" s="6" t="s">
        <v>58</v>
      </c>
      <c r="D21" s="6" t="s">
        <v>61</v>
      </c>
      <c r="E21" s="6" t="s">
        <v>62</v>
      </c>
      <c r="F21" s="6" t="s">
        <v>63</v>
      </c>
      <c r="G21" s="6">
        <v>30.0</v>
      </c>
      <c r="H21" s="6">
        <v>30.0</v>
      </c>
      <c r="I21" s="6">
        <f t="shared" si="1"/>
        <v>0</v>
      </c>
      <c r="J21" s="8">
        <f t="shared" si="2"/>
        <v>1</v>
      </c>
      <c r="K21" s="6" t="s">
        <v>5</v>
      </c>
      <c r="L21" s="7" t="s">
        <v>22</v>
      </c>
    </row>
    <row r="22" ht="15.75" customHeight="1">
      <c r="A22" s="6">
        <v>21.0</v>
      </c>
      <c r="B22" s="6" t="s">
        <v>18</v>
      </c>
      <c r="C22" s="6" t="s">
        <v>58</v>
      </c>
      <c r="D22" s="6" t="s">
        <v>64</v>
      </c>
      <c r="E22" s="6" t="s">
        <v>65</v>
      </c>
      <c r="F22" s="6" t="s">
        <v>24</v>
      </c>
      <c r="G22" s="6">
        <v>50.0</v>
      </c>
      <c r="H22" s="6">
        <v>50.0</v>
      </c>
      <c r="I22" s="6">
        <f t="shared" si="1"/>
        <v>0</v>
      </c>
      <c r="J22" s="8">
        <f t="shared" si="2"/>
        <v>1</v>
      </c>
      <c r="K22" s="6" t="s">
        <v>5</v>
      </c>
      <c r="L22" s="7" t="s">
        <v>22</v>
      </c>
    </row>
    <row r="23" ht="15.75" customHeight="1">
      <c r="A23" s="6">
        <v>22.0</v>
      </c>
      <c r="B23" s="6" t="s">
        <v>18</v>
      </c>
      <c r="C23" s="6" t="s">
        <v>58</v>
      </c>
      <c r="D23" s="6" t="s">
        <v>66</v>
      </c>
      <c r="E23" s="6" t="s">
        <v>67</v>
      </c>
      <c r="F23" s="6" t="s">
        <v>33</v>
      </c>
      <c r="G23" s="6">
        <v>45.0</v>
      </c>
      <c r="H23" s="6">
        <v>45.0</v>
      </c>
      <c r="I23" s="6">
        <f t="shared" si="1"/>
        <v>0</v>
      </c>
      <c r="J23" s="8">
        <f t="shared" si="2"/>
        <v>1</v>
      </c>
      <c r="K23" s="6" t="s">
        <v>5</v>
      </c>
      <c r="L23" s="7" t="s">
        <v>22</v>
      </c>
    </row>
    <row r="24" ht="15.75" customHeight="1">
      <c r="A24" s="6">
        <v>23.0</v>
      </c>
      <c r="B24" s="6" t="s">
        <v>18</v>
      </c>
      <c r="C24" s="6" t="s">
        <v>68</v>
      </c>
      <c r="D24" s="6" t="s">
        <v>69</v>
      </c>
      <c r="E24" s="6" t="s">
        <v>70</v>
      </c>
      <c r="F24" s="6" t="s">
        <v>19</v>
      </c>
      <c r="G24" s="6">
        <v>45.0</v>
      </c>
      <c r="H24" s="6">
        <v>45.0</v>
      </c>
      <c r="I24" s="6">
        <f t="shared" si="1"/>
        <v>0</v>
      </c>
      <c r="J24" s="8">
        <f t="shared" si="2"/>
        <v>1</v>
      </c>
      <c r="K24" s="6" t="s">
        <v>5</v>
      </c>
      <c r="L24" s="7" t="s">
        <v>22</v>
      </c>
    </row>
    <row r="25" ht="15.75" customHeight="1">
      <c r="A25" s="6">
        <v>24.0</v>
      </c>
      <c r="B25" s="6" t="s">
        <v>18</v>
      </c>
      <c r="C25" s="6" t="s">
        <v>19</v>
      </c>
      <c r="D25" s="6" t="s">
        <v>71</v>
      </c>
      <c r="E25" s="6" t="s">
        <v>72</v>
      </c>
      <c r="F25" s="6" t="s">
        <v>19</v>
      </c>
      <c r="G25" s="6">
        <v>30.0</v>
      </c>
      <c r="H25" s="6">
        <v>30.0</v>
      </c>
      <c r="I25" s="6">
        <f t="shared" si="1"/>
        <v>0</v>
      </c>
      <c r="J25" s="8">
        <f t="shared" si="2"/>
        <v>1</v>
      </c>
      <c r="K25" s="6" t="s">
        <v>5</v>
      </c>
      <c r="L25" s="7" t="s">
        <v>22</v>
      </c>
    </row>
    <row r="26" ht="15.75" customHeight="1">
      <c r="A26" s="6">
        <v>25.0</v>
      </c>
      <c r="B26" s="6" t="s">
        <v>18</v>
      </c>
      <c r="C26" s="6" t="s">
        <v>73</v>
      </c>
      <c r="D26" s="6" t="s">
        <v>74</v>
      </c>
      <c r="E26" s="6" t="s">
        <v>75</v>
      </c>
      <c r="F26" s="6" t="s">
        <v>33</v>
      </c>
      <c r="G26" s="6">
        <v>60.0</v>
      </c>
      <c r="H26" s="6">
        <v>60.0</v>
      </c>
      <c r="I26" s="6">
        <f t="shared" si="1"/>
        <v>0</v>
      </c>
      <c r="J26" s="8">
        <f t="shared" si="2"/>
        <v>1</v>
      </c>
      <c r="K26" s="6" t="s">
        <v>5</v>
      </c>
      <c r="L26" s="7" t="s">
        <v>22</v>
      </c>
    </row>
    <row r="27" ht="15.75" customHeight="1">
      <c r="A27" s="6">
        <v>26.0</v>
      </c>
      <c r="B27" s="6" t="s">
        <v>18</v>
      </c>
      <c r="C27" s="6" t="s">
        <v>76</v>
      </c>
      <c r="D27" s="6" t="s">
        <v>77</v>
      </c>
      <c r="E27" s="7" t="s">
        <v>78</v>
      </c>
      <c r="F27" s="6" t="s">
        <v>33</v>
      </c>
      <c r="G27" s="6">
        <v>40.0</v>
      </c>
      <c r="H27" s="6">
        <v>40.0</v>
      </c>
      <c r="I27" s="6">
        <f t="shared" si="1"/>
        <v>0</v>
      </c>
      <c r="J27" s="8">
        <f t="shared" si="2"/>
        <v>1</v>
      </c>
      <c r="K27" s="6" t="s">
        <v>5</v>
      </c>
      <c r="L27" s="7" t="s">
        <v>22</v>
      </c>
    </row>
    <row r="28" ht="15.75" customHeight="1">
      <c r="A28" s="6">
        <v>27.0</v>
      </c>
      <c r="B28" s="6" t="s">
        <v>18</v>
      </c>
      <c r="C28" s="6" t="s">
        <v>79</v>
      </c>
      <c r="D28" s="6" t="s">
        <v>80</v>
      </c>
      <c r="E28" s="6" t="s">
        <v>81</v>
      </c>
      <c r="F28" s="6" t="s">
        <v>24</v>
      </c>
      <c r="G28" s="6">
        <v>70.0</v>
      </c>
      <c r="H28" s="6">
        <v>70.0</v>
      </c>
      <c r="I28" s="6">
        <f t="shared" si="1"/>
        <v>0</v>
      </c>
      <c r="J28" s="8">
        <f t="shared" si="2"/>
        <v>1</v>
      </c>
      <c r="K28" s="6" t="s">
        <v>6</v>
      </c>
      <c r="L28" s="7" t="s">
        <v>22</v>
      </c>
    </row>
    <row r="29" ht="15.75" customHeight="1">
      <c r="A29" s="6">
        <v>28.0</v>
      </c>
      <c r="B29" s="6" t="s">
        <v>18</v>
      </c>
      <c r="C29" s="6" t="s">
        <v>82</v>
      </c>
      <c r="D29" s="6" t="s">
        <v>83</v>
      </c>
      <c r="E29" s="6" t="s">
        <v>84</v>
      </c>
      <c r="F29" s="6" t="s">
        <v>24</v>
      </c>
      <c r="G29" s="6">
        <v>75.0</v>
      </c>
      <c r="H29" s="6">
        <v>75.0</v>
      </c>
      <c r="I29" s="6">
        <f t="shared" si="1"/>
        <v>0</v>
      </c>
      <c r="J29" s="8">
        <f t="shared" si="2"/>
        <v>1</v>
      </c>
      <c r="K29" s="7" t="s">
        <v>3</v>
      </c>
      <c r="L29" s="7" t="s">
        <v>22</v>
      </c>
    </row>
    <row r="30" ht="15.75" customHeight="1">
      <c r="A30" s="6">
        <v>29.0</v>
      </c>
      <c r="B30" s="6" t="s">
        <v>18</v>
      </c>
      <c r="C30" s="6" t="s">
        <v>85</v>
      </c>
      <c r="D30" s="6" t="s">
        <v>86</v>
      </c>
      <c r="E30" s="7" t="s">
        <v>87</v>
      </c>
      <c r="F30" s="6" t="s">
        <v>88</v>
      </c>
      <c r="G30" s="6">
        <v>50.0</v>
      </c>
      <c r="H30" s="6">
        <v>50.0</v>
      </c>
      <c r="I30" s="6">
        <f t="shared" si="1"/>
        <v>0</v>
      </c>
      <c r="J30" s="8">
        <f t="shared" si="2"/>
        <v>1</v>
      </c>
      <c r="K30" s="6" t="s">
        <v>5</v>
      </c>
      <c r="L30" s="7" t="s">
        <v>22</v>
      </c>
    </row>
    <row r="31" ht="15.75" customHeight="1">
      <c r="A31" s="6">
        <v>30.0</v>
      </c>
      <c r="B31" s="6" t="s">
        <v>18</v>
      </c>
      <c r="C31" s="6" t="s">
        <v>85</v>
      </c>
      <c r="D31" s="6" t="s">
        <v>89</v>
      </c>
      <c r="E31" s="6" t="s">
        <v>90</v>
      </c>
      <c r="F31" s="6" t="s">
        <v>88</v>
      </c>
      <c r="G31" s="6">
        <v>35.0</v>
      </c>
      <c r="H31" s="6">
        <v>35.0</v>
      </c>
      <c r="I31" s="6">
        <f t="shared" si="1"/>
        <v>0</v>
      </c>
      <c r="J31" s="8">
        <f t="shared" si="2"/>
        <v>1</v>
      </c>
      <c r="K31" s="6" t="s">
        <v>5</v>
      </c>
      <c r="L31" s="7" t="s">
        <v>22</v>
      </c>
    </row>
    <row r="32" ht="15.75" customHeight="1">
      <c r="A32" s="6">
        <v>31.0</v>
      </c>
      <c r="B32" s="6" t="s">
        <v>18</v>
      </c>
      <c r="C32" s="6" t="s">
        <v>91</v>
      </c>
      <c r="D32" s="6" t="s">
        <v>92</v>
      </c>
      <c r="E32" s="6" t="s">
        <v>93</v>
      </c>
      <c r="F32" s="6" t="s">
        <v>94</v>
      </c>
      <c r="G32" s="7">
        <v>40.0</v>
      </c>
      <c r="H32" s="6">
        <v>40.0</v>
      </c>
      <c r="I32" s="6">
        <f t="shared" si="1"/>
        <v>0</v>
      </c>
      <c r="J32" s="8">
        <f t="shared" si="2"/>
        <v>1</v>
      </c>
      <c r="K32" s="7" t="s">
        <v>4</v>
      </c>
      <c r="L32" s="7" t="s">
        <v>22</v>
      </c>
    </row>
    <row r="33" ht="15.75" customHeight="1">
      <c r="A33" s="7">
        <v>32.0</v>
      </c>
      <c r="B33" s="7" t="s">
        <v>95</v>
      </c>
      <c r="C33" s="7" t="s">
        <v>96</v>
      </c>
      <c r="D33" s="7" t="s">
        <v>97</v>
      </c>
      <c r="E33" s="7" t="s">
        <v>98</v>
      </c>
      <c r="F33" s="7" t="s">
        <v>99</v>
      </c>
      <c r="J33" s="8"/>
      <c r="K33" s="7" t="s">
        <v>4</v>
      </c>
      <c r="L33" s="7" t="s">
        <v>22</v>
      </c>
    </row>
    <row r="34" ht="15.75" customHeight="1"/>
    <row r="35" ht="15.7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44"/>
    <col customWidth="1" min="2" max="2" width="25.78"/>
    <col customWidth="1" min="3" max="3" width="30.78"/>
    <col customWidth="1" min="4" max="4" width="12.44"/>
    <col customWidth="1" min="5" max="5" width="22.44"/>
    <col customWidth="1" min="6" max="26" width="10.56"/>
  </cols>
  <sheetData>
    <row r="1" ht="15.75" customHeight="1">
      <c r="A1" s="10" t="s">
        <v>100</v>
      </c>
      <c r="B1" s="10" t="s">
        <v>101</v>
      </c>
      <c r="C1" s="10" t="s">
        <v>102</v>
      </c>
      <c r="D1" s="10" t="s">
        <v>103</v>
      </c>
      <c r="E1" s="10" t="s">
        <v>104</v>
      </c>
    </row>
    <row r="2" ht="15.75" customHeight="1">
      <c r="A2" s="11">
        <f>SUM('liste des taches'!G2:G329)</f>
        <v>1400</v>
      </c>
      <c r="B2" s="11">
        <f>SUM('liste des taches'!H2:H329)</f>
        <v>1400</v>
      </c>
      <c r="C2" s="11">
        <f>SUM('liste des taches'!I2:I329)</f>
        <v>0</v>
      </c>
      <c r="D2" s="12">
        <f>(B2/(B2+C2))</f>
        <v>1</v>
      </c>
      <c r="E2" s="13">
        <f>((B2+C2)-A2)/A2</f>
        <v>0</v>
      </c>
    </row>
    <row r="3" ht="15.75" customHeight="1">
      <c r="C3" s="11">
        <f>C2/60</f>
        <v>0</v>
      </c>
      <c r="D3" s="11" t="s">
        <v>105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10.56"/>
  </cols>
  <sheetData>
    <row r="1" ht="15.75" customHeight="1">
      <c r="A1" s="4" t="s">
        <v>8</v>
      </c>
      <c r="B1" s="4" t="s">
        <v>106</v>
      </c>
      <c r="C1" s="14">
        <v>46069.0</v>
      </c>
      <c r="D1" s="14">
        <v>46070.0</v>
      </c>
      <c r="E1" s="15"/>
    </row>
    <row r="2" ht="15.75" customHeight="1">
      <c r="A2" s="6">
        <v>1.0</v>
      </c>
      <c r="B2" s="6">
        <v>45.0</v>
      </c>
      <c r="C2" s="6">
        <v>45.0</v>
      </c>
      <c r="D2" s="6">
        <v>0.0</v>
      </c>
    </row>
    <row r="3" ht="15.75" customHeight="1">
      <c r="A3" s="6">
        <v>2.0</v>
      </c>
      <c r="B3" s="6">
        <v>20.0</v>
      </c>
      <c r="C3" s="6">
        <v>10.0</v>
      </c>
      <c r="D3" s="6">
        <v>10.0</v>
      </c>
    </row>
    <row r="4" ht="15.75" customHeight="1">
      <c r="A4" s="6">
        <v>3.0</v>
      </c>
      <c r="B4" s="6">
        <v>70.0</v>
      </c>
      <c r="C4" s="6">
        <v>47.0</v>
      </c>
      <c r="D4" s="6">
        <v>23.0</v>
      </c>
    </row>
    <row r="5" ht="15.75" customHeight="1">
      <c r="A5" s="6">
        <v>4.0</v>
      </c>
      <c r="B5" s="6">
        <v>55.0</v>
      </c>
      <c r="C5" s="6">
        <v>33.0</v>
      </c>
      <c r="D5" s="6">
        <v>22.0</v>
      </c>
    </row>
    <row r="6" ht="15.75" customHeight="1">
      <c r="A6" s="6">
        <v>5.0</v>
      </c>
      <c r="B6" s="6">
        <v>70.0</v>
      </c>
      <c r="C6" s="6">
        <v>47.0</v>
      </c>
      <c r="D6" s="6">
        <v>23.0</v>
      </c>
    </row>
    <row r="7" ht="15.75" customHeight="1">
      <c r="A7" s="6">
        <v>6.0</v>
      </c>
      <c r="B7" s="6">
        <v>55.0</v>
      </c>
      <c r="C7" s="6">
        <v>22.0</v>
      </c>
      <c r="D7" s="6">
        <v>33.0</v>
      </c>
    </row>
    <row r="8" ht="15.75" customHeight="1">
      <c r="A8" s="6">
        <v>7.0</v>
      </c>
      <c r="B8" s="6">
        <v>45.0</v>
      </c>
      <c r="C8" s="6">
        <v>23.0</v>
      </c>
      <c r="D8" s="6">
        <v>22.0</v>
      </c>
    </row>
    <row r="9" ht="15.75" customHeight="1">
      <c r="A9" s="6">
        <v>8.0</v>
      </c>
      <c r="B9" s="6">
        <v>30.0</v>
      </c>
      <c r="C9" s="6">
        <v>8.0</v>
      </c>
      <c r="D9" s="6">
        <v>22.0</v>
      </c>
    </row>
    <row r="10" ht="15.75" customHeight="1">
      <c r="A10" s="6">
        <v>9.0</v>
      </c>
      <c r="B10" s="6">
        <v>70.0</v>
      </c>
      <c r="C10" s="6">
        <v>35.0</v>
      </c>
      <c r="D10" s="6">
        <v>35.0</v>
      </c>
    </row>
    <row r="11" ht="15.75" customHeight="1">
      <c r="A11" s="6">
        <v>10.0</v>
      </c>
      <c r="B11" s="6">
        <v>55.0</v>
      </c>
      <c r="C11" s="6">
        <v>22.0</v>
      </c>
      <c r="D11" s="6">
        <v>33.0</v>
      </c>
    </row>
    <row r="12" ht="15.75" customHeight="1">
      <c r="A12" s="6">
        <v>11.0</v>
      </c>
      <c r="B12" s="6">
        <v>55.0</v>
      </c>
      <c r="C12" s="6">
        <v>22.0</v>
      </c>
      <c r="D12" s="6">
        <v>33.0</v>
      </c>
    </row>
    <row r="13" ht="15.75" customHeight="1">
      <c r="A13" s="6">
        <v>12.0</v>
      </c>
      <c r="B13" s="6">
        <v>70.0</v>
      </c>
      <c r="C13" s="6">
        <v>35.0</v>
      </c>
      <c r="D13" s="6">
        <v>35.0</v>
      </c>
    </row>
    <row r="14" ht="15.75" customHeight="1">
      <c r="A14" s="6">
        <v>13.0</v>
      </c>
      <c r="B14" s="6">
        <v>55.0</v>
      </c>
      <c r="C14" s="6">
        <v>22.0</v>
      </c>
      <c r="D14" s="6">
        <v>33.0</v>
      </c>
    </row>
    <row r="15" ht="15.75" customHeight="1">
      <c r="A15" s="6">
        <v>14.0</v>
      </c>
      <c r="B15" s="6">
        <v>55.0</v>
      </c>
      <c r="C15" s="6">
        <v>22.0</v>
      </c>
      <c r="D15" s="6">
        <v>33.0</v>
      </c>
    </row>
    <row r="16" ht="15.75" customHeight="1">
      <c r="A16" s="6">
        <v>15.0</v>
      </c>
      <c r="B16" s="6">
        <v>30.0</v>
      </c>
      <c r="C16" s="6">
        <v>8.0</v>
      </c>
      <c r="D16" s="6">
        <v>22.0</v>
      </c>
    </row>
    <row r="17" ht="15.75" customHeight="1">
      <c r="A17" s="6">
        <v>16.0</v>
      </c>
      <c r="B17" s="6">
        <v>70.0</v>
      </c>
      <c r="C17" s="6">
        <v>35.0</v>
      </c>
      <c r="D17" s="6">
        <v>35.0</v>
      </c>
    </row>
    <row r="18" ht="15.75" customHeight="1">
      <c r="A18" s="6">
        <v>17.0</v>
      </c>
      <c r="B18" s="6">
        <v>30.0</v>
      </c>
      <c r="C18" s="6">
        <v>8.0</v>
      </c>
      <c r="D18" s="6">
        <v>22.0</v>
      </c>
    </row>
    <row r="19" ht="15.75" customHeight="1">
      <c r="A19" s="6">
        <v>18.0</v>
      </c>
      <c r="B19" s="6">
        <v>70.0</v>
      </c>
      <c r="C19" s="6">
        <v>23.0</v>
      </c>
      <c r="D19" s="6">
        <v>47.0</v>
      </c>
    </row>
    <row r="20" ht="15.75" customHeight="1">
      <c r="A20" s="6">
        <v>19.0</v>
      </c>
      <c r="B20" s="6">
        <v>30.0</v>
      </c>
      <c r="C20" s="6">
        <v>6.0</v>
      </c>
      <c r="D20" s="6">
        <v>24.0</v>
      </c>
    </row>
    <row r="21" ht="15.75" customHeight="1">
      <c r="A21" s="6">
        <v>20.0</v>
      </c>
      <c r="B21" s="6">
        <v>55.0</v>
      </c>
      <c r="C21" s="6">
        <v>28.0</v>
      </c>
      <c r="D21" s="6">
        <v>27.0</v>
      </c>
    </row>
    <row r="22" ht="15.75" customHeight="1">
      <c r="A22" s="6">
        <v>21.0</v>
      </c>
      <c r="B22" s="6">
        <v>45.0</v>
      </c>
      <c r="C22" s="6">
        <v>30.0</v>
      </c>
      <c r="D22" s="6">
        <v>15.0</v>
      </c>
    </row>
    <row r="23" ht="15.75" customHeight="1">
      <c r="A23" s="6">
        <v>22.0</v>
      </c>
      <c r="B23" s="6">
        <v>30.0</v>
      </c>
      <c r="C23" s="6">
        <v>10.0</v>
      </c>
      <c r="D23" s="6">
        <v>20.0</v>
      </c>
    </row>
    <row r="24" ht="15.75" customHeight="1">
      <c r="A24" s="6">
        <v>23.0</v>
      </c>
      <c r="B24" s="6">
        <v>70.0</v>
      </c>
      <c r="C24" s="6">
        <v>42.0</v>
      </c>
      <c r="D24" s="6">
        <v>28.0</v>
      </c>
    </row>
    <row r="25" ht="15.75" customHeight="1">
      <c r="A25" s="6">
        <v>24.0</v>
      </c>
      <c r="B25" s="6">
        <v>55.0</v>
      </c>
      <c r="C25" s="6">
        <v>22.0</v>
      </c>
      <c r="D25" s="6">
        <v>33.0</v>
      </c>
    </row>
    <row r="26" ht="15.75" customHeight="1">
      <c r="A26" s="6">
        <v>25.0</v>
      </c>
      <c r="B26" s="6">
        <v>0.0</v>
      </c>
      <c r="C26" s="6">
        <v>0.0</v>
      </c>
      <c r="D26" s="7">
        <v>0.0</v>
      </c>
    </row>
    <row r="27" ht="15.75" customHeight="1">
      <c r="A27" s="6">
        <v>26.0</v>
      </c>
      <c r="B27" s="6">
        <v>0.0</v>
      </c>
      <c r="C27" s="6">
        <v>0.0</v>
      </c>
      <c r="D27" s="6">
        <v>0.0</v>
      </c>
    </row>
    <row r="28" ht="15.75" customHeight="1">
      <c r="A28" s="6">
        <v>27.0</v>
      </c>
      <c r="B28" s="6">
        <v>0.0</v>
      </c>
      <c r="C28" s="6">
        <v>0.0</v>
      </c>
      <c r="D28" s="6">
        <v>0.0</v>
      </c>
    </row>
    <row r="29" ht="15.75" customHeight="1">
      <c r="A29" s="6">
        <v>28.0</v>
      </c>
      <c r="B29" s="6">
        <v>0.0</v>
      </c>
      <c r="C29" s="6">
        <v>0.0</v>
      </c>
      <c r="D29" s="6">
        <v>0.0</v>
      </c>
    </row>
    <row r="30" ht="15.75" customHeight="1">
      <c r="A30" s="6">
        <v>29.0</v>
      </c>
      <c r="B30" s="6">
        <v>0.0</v>
      </c>
      <c r="C30" s="6">
        <v>0.0</v>
      </c>
      <c r="D30" s="6">
        <v>0.0</v>
      </c>
    </row>
    <row r="31" ht="15.75" customHeight="1">
      <c r="A31" s="6">
        <v>30.0</v>
      </c>
      <c r="B31" s="6">
        <v>35.0</v>
      </c>
      <c r="C31" s="6">
        <v>15.0</v>
      </c>
      <c r="D31" s="6">
        <v>20.0</v>
      </c>
    </row>
    <row r="32" ht="15.75" customHeight="1">
      <c r="A32" s="6">
        <v>31.0</v>
      </c>
      <c r="B32" s="6">
        <v>40.0</v>
      </c>
      <c r="C32" s="6">
        <v>20.0</v>
      </c>
      <c r="D32" s="6">
        <v>20.0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</cp:coreProperties>
</file>